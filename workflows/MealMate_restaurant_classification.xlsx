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lMate - تصني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BDD7EE"/>
          <bgColor rgb="00BDD7EE"/>
        </patternFill>
      </fill>
    </dxf>
    <dxf>
      <fill>
        <patternFill patternType="solid">
          <fgColor rgb="00FFE699"/>
          <b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اسم مطعم</t>
        </is>
      </c>
      <c r="B1" s="1" t="inlineStr">
        <is>
          <t>شهري (د.ك)</t>
        </is>
      </c>
      <c r="C1" s="1" t="inlineStr">
        <is>
          <t>يومي (د.ك)</t>
        </is>
      </c>
      <c r="D1" s="1" t="inlineStr">
        <is>
          <t>تصنيف</t>
        </is>
      </c>
      <c r="E1" s="1" t="inlineStr"/>
      <c r="F1" s="1" t="inlineStr">
        <is>
          <t>μ</t>
        </is>
      </c>
      <c r="G1" s="1" t="inlineStr">
        <is>
          <t>σ</t>
        </is>
      </c>
      <c r="I1" t="inlineStr">
        <is>
          <t>Basic (&lt;)</t>
        </is>
      </c>
      <c r="J1" t="inlineStr">
        <is>
          <t>Elite (&gt;=)</t>
        </is>
      </c>
    </row>
    <row r="2">
      <c r="A2" t="inlineStr">
        <is>
          <t>مطعم 1</t>
        </is>
      </c>
      <c r="B2" t="n">
        <v>83.2</v>
      </c>
      <c r="C2">
        <f>IF(B2="","",B2/26)</f>
        <v/>
      </c>
      <c r="D2">
        <f>IF(C2="","",IF(AND($F$2&lt;&gt;"",$G$2&lt;&gt;""),IF(C2&lt;=$F$5,"Basic",IF(C2&gt;=$G$5,"Elite","Platinum")),IF(C2&lt;$I$2,"Basic",IF(C2&gt;=$J$2,"Elite","Platinum"))))</f>
        <v/>
      </c>
      <c r="F2">
        <f>IF(COUNT(C2:C100)&gt;0,AVERAGE(C2:C100),"")</f>
        <v/>
      </c>
      <c r="G2">
        <f>IF(COUNT(C2:C100)&gt;1,STDEV.P(C2:C100),"")</f>
        <v/>
      </c>
      <c r="I2" t="n">
        <v>4.5</v>
      </c>
      <c r="J2" t="n">
        <v>6</v>
      </c>
    </row>
    <row r="3">
      <c r="A3" t="inlineStr">
        <is>
          <t>مطعم 2</t>
        </is>
      </c>
      <c r="B3" t="n">
        <v>98.8</v>
      </c>
      <c r="C3">
        <f>IF(B3="","",B3/26)</f>
        <v/>
      </c>
      <c r="D3">
        <f>IF(C3="","",IF(AND($F$2&lt;&gt;"",$G$2&lt;&gt;""),IF(C3&lt;=$F$5,"Basic",IF(C3&gt;=$G$5,"Elite","Platinum")),IF(C3&lt;$I$2,"Basic",IF(C3&gt;=$J$2,"Elite","Platinum"))))</f>
        <v/>
      </c>
    </row>
    <row r="4">
      <c r="A4" t="inlineStr">
        <is>
          <t>مطعم 3</t>
        </is>
      </c>
      <c r="B4" t="n">
        <v>104</v>
      </c>
      <c r="C4">
        <f>IF(B4="","",B4/26)</f>
        <v/>
      </c>
      <c r="D4">
        <f>IF(C4="","",IF(AND($F$2&lt;&gt;"",$G$2&lt;&gt;""),IF(C4&lt;=$F$5,"Basic",IF(C4&gt;=$G$5,"Elite","Platinum")),IF(C4&lt;$I$2,"Basic",IF(C4&gt;=$J$2,"Elite","Platinum"))))</f>
        <v/>
      </c>
      <c r="F4" t="inlineStr">
        <is>
          <t>الحد السفلي</t>
        </is>
      </c>
      <c r="G4" t="inlineStr">
        <is>
          <t>الحد العلوي</t>
        </is>
      </c>
    </row>
    <row r="5">
      <c r="A5" t="inlineStr">
        <is>
          <t>مطعم 4</t>
        </is>
      </c>
      <c r="B5" t="n">
        <v>117</v>
      </c>
      <c r="C5">
        <f>IF(B5="","",B5/26)</f>
        <v/>
      </c>
      <c r="D5">
        <f>IF(C5="","",IF(AND($F$2&lt;&gt;"",$G$2&lt;&gt;""),IF(C5&lt;=$F$5,"Basic",IF(C5&gt;=$G$5,"Elite","Platinum")),IF(C5&lt;$I$2,"Basic",IF(C5&gt;=$J$2,"Elite","Platinum"))))</f>
        <v/>
      </c>
      <c r="F5">
        <f>IF(AND(F2&lt;&gt;"",G2&lt;&gt;""),F2-0.5*G2,"")</f>
        <v/>
      </c>
      <c r="G5">
        <f>IF(AND(F2&lt;&gt;"",G2&lt;&gt;""),F2+0.5*G2,"")</f>
        <v/>
      </c>
    </row>
    <row r="6">
      <c r="A6" t="inlineStr">
        <is>
          <t>مطعم 5</t>
        </is>
      </c>
      <c r="B6" t="n">
        <v>122.2</v>
      </c>
      <c r="C6">
        <f>IF(B6="","",B6/26)</f>
        <v/>
      </c>
      <c r="D6">
        <f>IF(C6="","",IF(AND($F$2&lt;&gt;"",$G$2&lt;&gt;""),IF(C6&lt;=$F$5,"Basic",IF(C6&gt;=$G$5,"Elite","Platinum")),IF(C6&lt;$I$2,"Basic",IF(C6&gt;=$J$2,"Elite","Platinum"))))</f>
        <v/>
      </c>
    </row>
    <row r="7">
      <c r="A7" t="inlineStr">
        <is>
          <t>مطعم 6</t>
        </is>
      </c>
      <c r="B7" t="n">
        <v>143</v>
      </c>
      <c r="C7">
        <f>IF(B7="","",B7/26)</f>
        <v/>
      </c>
      <c r="D7">
        <f>IF(C7="","",IF(AND($F$2&lt;&gt;"",$G$2&lt;&gt;""),IF(C7&lt;=$F$5,"Basic",IF(C7&gt;=$G$5,"Elite","Platinum")),IF(C7&lt;$I$2,"Basic",IF(C7&gt;=$J$2,"Elite","Platinum"))))</f>
        <v/>
      </c>
    </row>
    <row r="8">
      <c r="A8" t="inlineStr">
        <is>
          <t>مطعم 7</t>
        </is>
      </c>
      <c r="B8" t="n">
        <v>156</v>
      </c>
      <c r="C8">
        <f>IF(B8="","",B8/26)</f>
        <v/>
      </c>
      <c r="D8">
        <f>IF(C8="","",IF(AND($F$2&lt;&gt;"",$G$2&lt;&gt;""),IF(C8&lt;=$F$5,"Basic",IF(C8&gt;=$G$5,"Elite","Platinum")),IF(C8&lt;$I$2,"Basic",IF(C8&gt;=$J$2,"Elite","Platinum"))))</f>
        <v/>
      </c>
    </row>
    <row r="9">
      <c r="A9" t="inlineStr">
        <is>
          <t>مطعم 8</t>
        </is>
      </c>
      <c r="B9" t="n">
        <v>187.2</v>
      </c>
      <c r="C9">
        <f>IF(B9="","",B9/26)</f>
        <v/>
      </c>
      <c r="D9">
        <f>IF(C9="","",IF(AND($F$2&lt;&gt;"",$G$2&lt;&gt;""),IF(C9&lt;=$F$5,"Basic",IF(C9&gt;=$G$5,"Elite","Platinum")),IF(C9&lt;$I$2,"Basic",IF(C9&gt;=$J$2,"Elite","Platinum"))))</f>
        <v/>
      </c>
    </row>
    <row r="10">
      <c r="C10">
        <f>IF(B10="","",B10/26)</f>
        <v/>
      </c>
      <c r="D10">
        <f>IF(C10="","",IF(AND($F$2&lt;&gt;"",$G$2&lt;&gt;""),IF(C10&lt;=$F$5,"Basic",IF(C10&gt;=$G$5,"Elite","Platinum")),IF(C10&lt;$I$2,"Basic",IF(C10&gt;=$J$2,"Elite","Platinum"))))</f>
        <v/>
      </c>
    </row>
    <row r="11">
      <c r="C11">
        <f>IF(B11="","",B11/26)</f>
        <v/>
      </c>
      <c r="D11">
        <f>IF(C11="","",IF(AND($F$2&lt;&gt;"",$G$2&lt;&gt;""),IF(C11&lt;=$F$5,"Basic",IF(C11&gt;=$G$5,"Elite","Platinum")),IF(C11&lt;$I$2,"Basic",IF(C11&gt;=$J$2,"Elite","Platinum"))))</f>
        <v/>
      </c>
    </row>
    <row r="12">
      <c r="C12">
        <f>IF(B12="","",B12/26)</f>
        <v/>
      </c>
      <c r="D12">
        <f>IF(C12="","",IF(AND($F$2&lt;&gt;"",$G$2&lt;&gt;""),IF(C12&lt;=$F$5,"Basic",IF(C12&gt;=$G$5,"Elite","Platinum")),IF(C12&lt;$I$2,"Basic",IF(C12&gt;=$J$2,"Elite","Platinum"))))</f>
        <v/>
      </c>
    </row>
    <row r="13">
      <c r="C13">
        <f>IF(B13="","",B13/26)</f>
        <v/>
      </c>
      <c r="D13">
        <f>IF(C13="","",IF(AND($F$2&lt;&gt;"",$G$2&lt;&gt;""),IF(C13&lt;=$F$5,"Basic",IF(C13&gt;=$G$5,"Elite","Platinum")),IF(C13&lt;$I$2,"Basic",IF(C13&gt;=$J$2,"Elite","Platinum"))))</f>
        <v/>
      </c>
    </row>
    <row r="14">
      <c r="C14">
        <f>IF(B14="","",B14/26)</f>
        <v/>
      </c>
      <c r="D14">
        <f>IF(C14="","",IF(AND($F$2&lt;&gt;"",$G$2&lt;&gt;""),IF(C14&lt;=$F$5,"Basic",IF(C14&gt;=$G$5,"Elite","Platinum")),IF(C14&lt;$I$2,"Basic",IF(C14&gt;=$J$2,"Elite","Platinum"))))</f>
        <v/>
      </c>
    </row>
    <row r="15">
      <c r="C15">
        <f>IF(B15="","",B15/26)</f>
        <v/>
      </c>
      <c r="D15">
        <f>IF(C15="","",IF(AND($F$2&lt;&gt;"",$G$2&lt;&gt;""),IF(C15&lt;=$F$5,"Basic",IF(C15&gt;=$G$5,"Elite","Platinum")),IF(C15&lt;$I$2,"Basic",IF(C15&gt;=$J$2,"Elite","Platinum"))))</f>
        <v/>
      </c>
    </row>
    <row r="16">
      <c r="C16">
        <f>IF(B16="","",B16/26)</f>
        <v/>
      </c>
      <c r="D16">
        <f>IF(C16="","",IF(AND($F$2&lt;&gt;"",$G$2&lt;&gt;""),IF(C16&lt;=$F$5,"Basic",IF(C16&gt;=$G$5,"Elite","Platinum")),IF(C16&lt;$I$2,"Basic",IF(C16&gt;=$J$2,"Elite","Platinum"))))</f>
        <v/>
      </c>
    </row>
    <row r="17">
      <c r="C17">
        <f>IF(B17="","",B17/26)</f>
        <v/>
      </c>
      <c r="D17">
        <f>IF(C17="","",IF(AND($F$2&lt;&gt;"",$G$2&lt;&gt;""),IF(C17&lt;=$F$5,"Basic",IF(C17&gt;=$G$5,"Elite","Platinum")),IF(C17&lt;$I$2,"Basic",IF(C17&gt;=$J$2,"Elite","Platinum"))))</f>
        <v/>
      </c>
    </row>
    <row r="18">
      <c r="C18">
        <f>IF(B18="","",B18/26)</f>
        <v/>
      </c>
      <c r="D18">
        <f>IF(C18="","",IF(AND($F$2&lt;&gt;"",$G$2&lt;&gt;""),IF(C18&lt;=$F$5,"Basic",IF(C18&gt;=$G$5,"Elite","Platinum")),IF(C18&lt;$I$2,"Basic",IF(C18&gt;=$J$2,"Elite","Platinum"))))</f>
        <v/>
      </c>
    </row>
    <row r="19">
      <c r="C19">
        <f>IF(B19="","",B19/26)</f>
        <v/>
      </c>
      <c r="D19">
        <f>IF(C19="","",IF(AND($F$2&lt;&gt;"",$G$2&lt;&gt;""),IF(C19&lt;=$F$5,"Basic",IF(C19&gt;=$G$5,"Elite","Platinum")),IF(C19&lt;$I$2,"Basic",IF(C19&gt;=$J$2,"Elite","Platinum"))))</f>
        <v/>
      </c>
    </row>
    <row r="20">
      <c r="C20">
        <f>IF(B20="","",B20/26)</f>
        <v/>
      </c>
      <c r="D20">
        <f>IF(C20="","",IF(AND($F$2&lt;&gt;"",$G$2&lt;&gt;""),IF(C20&lt;=$F$5,"Basic",IF(C20&gt;=$G$5,"Elite","Platinum")),IF(C20&lt;$I$2,"Basic",IF(C20&gt;=$J$2,"Elite","Platinum"))))</f>
        <v/>
      </c>
    </row>
    <row r="21">
      <c r="C21">
        <f>IF(B21="","",B21/26)</f>
        <v/>
      </c>
      <c r="D21">
        <f>IF(C21="","",IF(AND($F$2&lt;&gt;"",$G$2&lt;&gt;""),IF(C21&lt;=$F$5,"Basic",IF(C21&gt;=$G$5,"Elite","Platinum")),IF(C21&lt;$I$2,"Basic",IF(C21&gt;=$J$2,"Elite","Platinum"))))</f>
        <v/>
      </c>
    </row>
    <row r="22">
      <c r="C22">
        <f>IF(B22="","",B22/26)</f>
        <v/>
      </c>
      <c r="D22">
        <f>IF(C22="","",IF(AND($F$2&lt;&gt;"",$G$2&lt;&gt;""),IF(C22&lt;=$F$5,"Basic",IF(C22&gt;=$G$5,"Elite","Platinum")),IF(C22&lt;$I$2,"Basic",IF(C22&gt;=$J$2,"Elite","Platinum"))))</f>
        <v/>
      </c>
    </row>
    <row r="23">
      <c r="C23">
        <f>IF(B23="","",B23/26)</f>
        <v/>
      </c>
      <c r="D23">
        <f>IF(C23="","",IF(AND($F$2&lt;&gt;"",$G$2&lt;&gt;""),IF(C23&lt;=$F$5,"Basic",IF(C23&gt;=$G$5,"Elite","Platinum")),IF(C23&lt;$I$2,"Basic",IF(C23&gt;=$J$2,"Elite","Platinum"))))</f>
        <v/>
      </c>
    </row>
    <row r="24">
      <c r="C24">
        <f>IF(B24="","",B24/26)</f>
        <v/>
      </c>
      <c r="D24">
        <f>IF(C24="","",IF(AND($F$2&lt;&gt;"",$G$2&lt;&gt;""),IF(C24&lt;=$F$5,"Basic",IF(C24&gt;=$G$5,"Elite","Platinum")),IF(C24&lt;$I$2,"Basic",IF(C24&gt;=$J$2,"Elite","Platinum"))))</f>
        <v/>
      </c>
    </row>
    <row r="25">
      <c r="C25">
        <f>IF(B25="","",B25/26)</f>
        <v/>
      </c>
      <c r="D25">
        <f>IF(C25="","",IF(AND($F$2&lt;&gt;"",$G$2&lt;&gt;""),IF(C25&lt;=$F$5,"Basic",IF(C25&gt;=$G$5,"Elite","Platinum")),IF(C25&lt;$I$2,"Basic",IF(C25&gt;=$J$2,"Elite","Platinum"))))</f>
        <v/>
      </c>
    </row>
    <row r="26">
      <c r="C26">
        <f>IF(B26="","",B26/26)</f>
        <v/>
      </c>
      <c r="D26">
        <f>IF(C26="","",IF(AND($F$2&lt;&gt;"",$G$2&lt;&gt;""),IF(C26&lt;=$F$5,"Basic",IF(C26&gt;=$G$5,"Elite","Platinum")),IF(C26&lt;$I$2,"Basic",IF(C26&gt;=$J$2,"Elite","Platinum"))))</f>
        <v/>
      </c>
    </row>
    <row r="27">
      <c r="C27">
        <f>IF(B27="","",B27/26)</f>
        <v/>
      </c>
      <c r="D27">
        <f>IF(C27="","",IF(AND($F$2&lt;&gt;"",$G$2&lt;&gt;""),IF(C27&lt;=$F$5,"Basic",IF(C27&gt;=$G$5,"Elite","Platinum")),IF(C27&lt;$I$2,"Basic",IF(C27&gt;=$J$2,"Elite","Platinum"))))</f>
        <v/>
      </c>
    </row>
    <row r="28">
      <c r="C28">
        <f>IF(B28="","",B28/26)</f>
        <v/>
      </c>
      <c r="D28">
        <f>IF(C28="","",IF(AND($F$2&lt;&gt;"",$G$2&lt;&gt;""),IF(C28&lt;=$F$5,"Basic",IF(C28&gt;=$G$5,"Elite","Platinum")),IF(C28&lt;$I$2,"Basic",IF(C28&gt;=$J$2,"Elite","Platinum"))))</f>
        <v/>
      </c>
    </row>
    <row r="29">
      <c r="C29">
        <f>IF(B29="","",B29/26)</f>
        <v/>
      </c>
      <c r="D29">
        <f>IF(C29="","",IF(AND($F$2&lt;&gt;"",$G$2&lt;&gt;""),IF(C29&lt;=$F$5,"Basic",IF(C29&gt;=$G$5,"Elite","Platinum")),IF(C29&lt;$I$2,"Basic",IF(C29&gt;=$J$2,"Elite","Platinum"))))</f>
        <v/>
      </c>
    </row>
    <row r="30">
      <c r="C30">
        <f>IF(B30="","",B30/26)</f>
        <v/>
      </c>
      <c r="D30">
        <f>IF(C30="","",IF(AND($F$2&lt;&gt;"",$G$2&lt;&gt;""),IF(C30&lt;=$F$5,"Basic",IF(C30&gt;=$G$5,"Elite","Platinum")),IF(C30&lt;$I$2,"Basic",IF(C30&gt;=$J$2,"Elite","Platinum"))))</f>
        <v/>
      </c>
    </row>
    <row r="31">
      <c r="C31">
        <f>IF(B31="","",B31/26)</f>
        <v/>
      </c>
      <c r="D31">
        <f>IF(C31="","",IF(AND($F$2&lt;&gt;"",$G$2&lt;&gt;""),IF(C31&lt;=$F$5,"Basic",IF(C31&gt;=$G$5,"Elite","Platinum")),IF(C31&lt;$I$2,"Basic",IF(C31&gt;=$J$2,"Elite","Platinum"))))</f>
        <v/>
      </c>
    </row>
    <row r="32">
      <c r="C32">
        <f>IF(B32="","",B32/26)</f>
        <v/>
      </c>
      <c r="D32">
        <f>IF(C32="","",IF(AND($F$2&lt;&gt;"",$G$2&lt;&gt;""),IF(C32&lt;=$F$5,"Basic",IF(C32&gt;=$G$5,"Elite","Platinum")),IF(C32&lt;$I$2,"Basic",IF(C32&gt;=$J$2,"Elite","Platinum"))))</f>
        <v/>
      </c>
    </row>
    <row r="33">
      <c r="C33">
        <f>IF(B33="","",B33/26)</f>
        <v/>
      </c>
      <c r="D33">
        <f>IF(C33="","",IF(AND($F$2&lt;&gt;"",$G$2&lt;&gt;""),IF(C33&lt;=$F$5,"Basic",IF(C33&gt;=$G$5,"Elite","Platinum")),IF(C33&lt;$I$2,"Basic",IF(C33&gt;=$J$2,"Elite","Platinum"))))</f>
        <v/>
      </c>
    </row>
    <row r="34">
      <c r="C34">
        <f>IF(B34="","",B34/26)</f>
        <v/>
      </c>
      <c r="D34">
        <f>IF(C34="","",IF(AND($F$2&lt;&gt;"",$G$2&lt;&gt;""),IF(C34&lt;=$F$5,"Basic",IF(C34&gt;=$G$5,"Elite","Platinum")),IF(C34&lt;$I$2,"Basic",IF(C34&gt;=$J$2,"Elite","Platinum"))))</f>
        <v/>
      </c>
    </row>
    <row r="35">
      <c r="C35">
        <f>IF(B35="","",B35/26)</f>
        <v/>
      </c>
      <c r="D35">
        <f>IF(C35="","",IF(AND($F$2&lt;&gt;"",$G$2&lt;&gt;""),IF(C35&lt;=$F$5,"Basic",IF(C35&gt;=$G$5,"Elite","Platinum")),IF(C35&lt;$I$2,"Basic",IF(C35&gt;=$J$2,"Elite","Platinum"))))</f>
        <v/>
      </c>
    </row>
    <row r="36">
      <c r="C36">
        <f>IF(B36="","",B36/26)</f>
        <v/>
      </c>
      <c r="D36">
        <f>IF(C36="","",IF(AND($F$2&lt;&gt;"",$G$2&lt;&gt;""),IF(C36&lt;=$F$5,"Basic",IF(C36&gt;=$G$5,"Elite","Platinum")),IF(C36&lt;$I$2,"Basic",IF(C36&gt;=$J$2,"Elite","Platinum"))))</f>
        <v/>
      </c>
    </row>
    <row r="37">
      <c r="C37">
        <f>IF(B37="","",B37/26)</f>
        <v/>
      </c>
      <c r="D37">
        <f>IF(C37="","",IF(AND($F$2&lt;&gt;"",$G$2&lt;&gt;""),IF(C37&lt;=$F$5,"Basic",IF(C37&gt;=$G$5,"Elite","Platinum")),IF(C37&lt;$I$2,"Basic",IF(C37&gt;=$J$2,"Elite","Platinum"))))</f>
        <v/>
      </c>
    </row>
    <row r="38">
      <c r="C38">
        <f>IF(B38="","",B38/26)</f>
        <v/>
      </c>
      <c r="D38">
        <f>IF(C38="","",IF(AND($F$2&lt;&gt;"",$G$2&lt;&gt;""),IF(C38&lt;=$F$5,"Basic",IF(C38&gt;=$G$5,"Elite","Platinum")),IF(C38&lt;$I$2,"Basic",IF(C38&gt;=$J$2,"Elite","Platinum"))))</f>
        <v/>
      </c>
    </row>
    <row r="39">
      <c r="C39">
        <f>IF(B39="","",B39/26)</f>
        <v/>
      </c>
      <c r="D39">
        <f>IF(C39="","",IF(AND($F$2&lt;&gt;"",$G$2&lt;&gt;""),IF(C39&lt;=$F$5,"Basic",IF(C39&gt;=$G$5,"Elite","Platinum")),IF(C39&lt;$I$2,"Basic",IF(C39&gt;=$J$2,"Elite","Platinum"))))</f>
        <v/>
      </c>
    </row>
    <row r="40">
      <c r="C40">
        <f>IF(B40="","",B40/26)</f>
        <v/>
      </c>
      <c r="D40">
        <f>IF(C40="","",IF(AND($F$2&lt;&gt;"",$G$2&lt;&gt;""),IF(C40&lt;=$F$5,"Basic",IF(C40&gt;=$G$5,"Elite","Platinum")),IF(C40&lt;$I$2,"Basic",IF(C40&gt;=$J$2,"Elite","Platinum"))))</f>
        <v/>
      </c>
    </row>
    <row r="41">
      <c r="C41">
        <f>IF(B41="","",B41/26)</f>
        <v/>
      </c>
      <c r="D41">
        <f>IF(C41="","",IF(AND($F$2&lt;&gt;"",$G$2&lt;&gt;""),IF(C41&lt;=$F$5,"Basic",IF(C41&gt;=$G$5,"Elite","Platinum")),IF(C41&lt;$I$2,"Basic",IF(C41&gt;=$J$2,"Elite","Platinum"))))</f>
        <v/>
      </c>
    </row>
    <row r="42">
      <c r="C42">
        <f>IF(B42="","",B42/26)</f>
        <v/>
      </c>
      <c r="D42">
        <f>IF(C42="","",IF(AND($F$2&lt;&gt;"",$G$2&lt;&gt;""),IF(C42&lt;=$F$5,"Basic",IF(C42&gt;=$G$5,"Elite","Platinum")),IF(C42&lt;$I$2,"Basic",IF(C42&gt;=$J$2,"Elite","Platinum"))))</f>
        <v/>
      </c>
    </row>
    <row r="43">
      <c r="C43">
        <f>IF(B43="","",B43/26)</f>
        <v/>
      </c>
      <c r="D43">
        <f>IF(C43="","",IF(AND($F$2&lt;&gt;"",$G$2&lt;&gt;""),IF(C43&lt;=$F$5,"Basic",IF(C43&gt;=$G$5,"Elite","Platinum")),IF(C43&lt;$I$2,"Basic",IF(C43&gt;=$J$2,"Elite","Platinum"))))</f>
        <v/>
      </c>
    </row>
    <row r="44">
      <c r="C44">
        <f>IF(B44="","",B44/26)</f>
        <v/>
      </c>
      <c r="D44">
        <f>IF(C44="","",IF(AND($F$2&lt;&gt;"",$G$2&lt;&gt;""),IF(C44&lt;=$F$5,"Basic",IF(C44&gt;=$G$5,"Elite","Platinum")),IF(C44&lt;$I$2,"Basic",IF(C44&gt;=$J$2,"Elite","Platinum"))))</f>
        <v/>
      </c>
    </row>
    <row r="45">
      <c r="C45">
        <f>IF(B45="","",B45/26)</f>
        <v/>
      </c>
      <c r="D45">
        <f>IF(C45="","",IF(AND($F$2&lt;&gt;"",$G$2&lt;&gt;""),IF(C45&lt;=$F$5,"Basic",IF(C45&gt;=$G$5,"Elite","Platinum")),IF(C45&lt;$I$2,"Basic",IF(C45&gt;=$J$2,"Elite","Platinum"))))</f>
        <v/>
      </c>
    </row>
    <row r="46">
      <c r="C46">
        <f>IF(B46="","",B46/26)</f>
        <v/>
      </c>
      <c r="D46">
        <f>IF(C46="","",IF(AND($F$2&lt;&gt;"",$G$2&lt;&gt;""),IF(C46&lt;=$F$5,"Basic",IF(C46&gt;=$G$5,"Elite","Platinum")),IF(C46&lt;$I$2,"Basic",IF(C46&gt;=$J$2,"Elite","Platinum"))))</f>
        <v/>
      </c>
    </row>
    <row r="47">
      <c r="C47">
        <f>IF(B47="","",B47/26)</f>
        <v/>
      </c>
      <c r="D47">
        <f>IF(C47="","",IF(AND($F$2&lt;&gt;"",$G$2&lt;&gt;""),IF(C47&lt;=$F$5,"Basic",IF(C47&gt;=$G$5,"Elite","Platinum")),IF(C47&lt;$I$2,"Basic",IF(C47&gt;=$J$2,"Elite","Platinum"))))</f>
        <v/>
      </c>
    </row>
    <row r="48">
      <c r="C48">
        <f>IF(B48="","",B48/26)</f>
        <v/>
      </c>
      <c r="D48">
        <f>IF(C48="","",IF(AND($F$2&lt;&gt;"",$G$2&lt;&gt;""),IF(C48&lt;=$F$5,"Basic",IF(C48&gt;=$G$5,"Elite","Platinum")),IF(C48&lt;$I$2,"Basic",IF(C48&gt;=$J$2,"Elite","Platinum"))))</f>
        <v/>
      </c>
    </row>
    <row r="49">
      <c r="C49">
        <f>IF(B49="","",B49/26)</f>
        <v/>
      </c>
      <c r="D49">
        <f>IF(C49="","",IF(AND($F$2&lt;&gt;"",$G$2&lt;&gt;""),IF(C49&lt;=$F$5,"Basic",IF(C49&gt;=$G$5,"Elite","Platinum")),IF(C49&lt;$I$2,"Basic",IF(C49&gt;=$J$2,"Elite","Platinum"))))</f>
        <v/>
      </c>
    </row>
    <row r="50">
      <c r="C50">
        <f>IF(B50="","",B50/26)</f>
        <v/>
      </c>
      <c r="D50">
        <f>IF(C50="","",IF(AND($F$2&lt;&gt;"",$G$2&lt;&gt;""),IF(C50&lt;=$F$5,"Basic",IF(C50&gt;=$G$5,"Elite","Platinum")),IF(C50&lt;$I$2,"Basic",IF(C50&gt;=$J$2,"Elite","Platinum"))))</f>
        <v/>
      </c>
    </row>
    <row r="51">
      <c r="C51">
        <f>IF(B51="","",B51/26)</f>
        <v/>
      </c>
      <c r="D51">
        <f>IF(C51="","",IF(AND($F$2&lt;&gt;"",$G$2&lt;&gt;""),IF(C51&lt;=$F$5,"Basic",IF(C51&gt;=$G$5,"Elite","Platinum")),IF(C51&lt;$I$2,"Basic",IF(C51&gt;=$J$2,"Elite","Platinum"))))</f>
        <v/>
      </c>
    </row>
    <row r="52">
      <c r="C52">
        <f>IF(B52="","",B52/26)</f>
        <v/>
      </c>
      <c r="D52">
        <f>IF(C52="","",IF(AND($F$2&lt;&gt;"",$G$2&lt;&gt;""),IF(C52&lt;=$F$5,"Basic",IF(C52&gt;=$G$5,"Elite","Platinum")),IF(C52&lt;$I$2,"Basic",IF(C52&gt;=$J$2,"Elite","Platinum"))))</f>
        <v/>
      </c>
    </row>
    <row r="53">
      <c r="C53">
        <f>IF(B53="","",B53/26)</f>
        <v/>
      </c>
      <c r="D53">
        <f>IF(C53="","",IF(AND($F$2&lt;&gt;"",$G$2&lt;&gt;""),IF(C53&lt;=$F$5,"Basic",IF(C53&gt;=$G$5,"Elite","Platinum")),IF(C53&lt;$I$2,"Basic",IF(C53&gt;=$J$2,"Elite","Platinum"))))</f>
        <v/>
      </c>
    </row>
    <row r="54">
      <c r="C54">
        <f>IF(B54="","",B54/26)</f>
        <v/>
      </c>
      <c r="D54">
        <f>IF(C54="","",IF(AND($F$2&lt;&gt;"",$G$2&lt;&gt;""),IF(C54&lt;=$F$5,"Basic",IF(C54&gt;=$G$5,"Elite","Platinum")),IF(C54&lt;$I$2,"Basic",IF(C54&gt;=$J$2,"Elite","Platinum"))))</f>
        <v/>
      </c>
    </row>
    <row r="55">
      <c r="C55">
        <f>IF(B55="","",B55/26)</f>
        <v/>
      </c>
      <c r="D55">
        <f>IF(C55="","",IF(AND($F$2&lt;&gt;"",$G$2&lt;&gt;""),IF(C55&lt;=$F$5,"Basic",IF(C55&gt;=$G$5,"Elite","Platinum")),IF(C55&lt;$I$2,"Basic",IF(C55&gt;=$J$2,"Elite","Platinum"))))</f>
        <v/>
      </c>
    </row>
    <row r="56">
      <c r="C56">
        <f>IF(B56="","",B56/26)</f>
        <v/>
      </c>
      <c r="D56">
        <f>IF(C56="","",IF(AND($F$2&lt;&gt;"",$G$2&lt;&gt;""),IF(C56&lt;=$F$5,"Basic",IF(C56&gt;=$G$5,"Elite","Platinum")),IF(C56&lt;$I$2,"Basic",IF(C56&gt;=$J$2,"Elite","Platinum"))))</f>
        <v/>
      </c>
    </row>
    <row r="57">
      <c r="C57">
        <f>IF(B57="","",B57/26)</f>
        <v/>
      </c>
      <c r="D57">
        <f>IF(C57="","",IF(AND($F$2&lt;&gt;"",$G$2&lt;&gt;""),IF(C57&lt;=$F$5,"Basic",IF(C57&gt;=$G$5,"Elite","Platinum")),IF(C57&lt;$I$2,"Basic",IF(C57&gt;=$J$2,"Elite","Platinum"))))</f>
        <v/>
      </c>
    </row>
    <row r="58">
      <c r="C58">
        <f>IF(B58="","",B58/26)</f>
        <v/>
      </c>
      <c r="D58">
        <f>IF(C58="","",IF(AND($F$2&lt;&gt;"",$G$2&lt;&gt;""),IF(C58&lt;=$F$5,"Basic",IF(C58&gt;=$G$5,"Elite","Platinum")),IF(C58&lt;$I$2,"Basic",IF(C58&gt;=$J$2,"Elite","Platinum"))))</f>
        <v/>
      </c>
    </row>
    <row r="59">
      <c r="C59">
        <f>IF(B59="","",B59/26)</f>
        <v/>
      </c>
      <c r="D59">
        <f>IF(C59="","",IF(AND($F$2&lt;&gt;"",$G$2&lt;&gt;""),IF(C59&lt;=$F$5,"Basic",IF(C59&gt;=$G$5,"Elite","Platinum")),IF(C59&lt;$I$2,"Basic",IF(C59&gt;=$J$2,"Elite","Platinum"))))</f>
        <v/>
      </c>
    </row>
    <row r="60">
      <c r="C60">
        <f>IF(B60="","",B60/26)</f>
        <v/>
      </c>
      <c r="D60">
        <f>IF(C60="","",IF(AND($F$2&lt;&gt;"",$G$2&lt;&gt;""),IF(C60&lt;=$F$5,"Basic",IF(C60&gt;=$G$5,"Elite","Platinum")),IF(C60&lt;$I$2,"Basic",IF(C60&gt;=$J$2,"Elite","Platinum"))))</f>
        <v/>
      </c>
    </row>
    <row r="61">
      <c r="C61">
        <f>IF(B61="","",B61/26)</f>
        <v/>
      </c>
      <c r="D61">
        <f>IF(C61="","",IF(AND($F$2&lt;&gt;"",$G$2&lt;&gt;""),IF(C61&lt;=$F$5,"Basic",IF(C61&gt;=$G$5,"Elite","Platinum")),IF(C61&lt;$I$2,"Basic",IF(C61&gt;=$J$2,"Elite","Platinum"))))</f>
        <v/>
      </c>
    </row>
    <row r="62">
      <c r="C62">
        <f>IF(B62="","",B62/26)</f>
        <v/>
      </c>
      <c r="D62">
        <f>IF(C62="","",IF(AND($F$2&lt;&gt;"",$G$2&lt;&gt;""),IF(C62&lt;=$F$5,"Basic",IF(C62&gt;=$G$5,"Elite","Platinum")),IF(C62&lt;$I$2,"Basic",IF(C62&gt;=$J$2,"Elite","Platinum"))))</f>
        <v/>
      </c>
    </row>
    <row r="63">
      <c r="C63">
        <f>IF(B63="","",B63/26)</f>
        <v/>
      </c>
      <c r="D63">
        <f>IF(C63="","",IF(AND($F$2&lt;&gt;"",$G$2&lt;&gt;""),IF(C63&lt;=$F$5,"Basic",IF(C63&gt;=$G$5,"Elite","Platinum")),IF(C63&lt;$I$2,"Basic",IF(C63&gt;=$J$2,"Elite","Platinum"))))</f>
        <v/>
      </c>
    </row>
    <row r="64">
      <c r="C64">
        <f>IF(B64="","",B64/26)</f>
        <v/>
      </c>
      <c r="D64">
        <f>IF(C64="","",IF(AND($F$2&lt;&gt;"",$G$2&lt;&gt;""),IF(C64&lt;=$F$5,"Basic",IF(C64&gt;=$G$5,"Elite","Platinum")),IF(C64&lt;$I$2,"Basic",IF(C64&gt;=$J$2,"Elite","Platinum"))))</f>
        <v/>
      </c>
    </row>
    <row r="65">
      <c r="C65">
        <f>IF(B65="","",B65/26)</f>
        <v/>
      </c>
      <c r="D65">
        <f>IF(C65="","",IF(AND($F$2&lt;&gt;"",$G$2&lt;&gt;""),IF(C65&lt;=$F$5,"Basic",IF(C65&gt;=$G$5,"Elite","Platinum")),IF(C65&lt;$I$2,"Basic",IF(C65&gt;=$J$2,"Elite","Platinum"))))</f>
        <v/>
      </c>
    </row>
    <row r="66">
      <c r="C66">
        <f>IF(B66="","",B66/26)</f>
        <v/>
      </c>
      <c r="D66">
        <f>IF(C66="","",IF(AND($F$2&lt;&gt;"",$G$2&lt;&gt;""),IF(C66&lt;=$F$5,"Basic",IF(C66&gt;=$G$5,"Elite","Platinum")),IF(C66&lt;$I$2,"Basic",IF(C66&gt;=$J$2,"Elite","Platinum"))))</f>
        <v/>
      </c>
    </row>
    <row r="67">
      <c r="C67">
        <f>IF(B67="","",B67/26)</f>
        <v/>
      </c>
      <c r="D67">
        <f>IF(C67="","",IF(AND($F$2&lt;&gt;"",$G$2&lt;&gt;""),IF(C67&lt;=$F$5,"Basic",IF(C67&gt;=$G$5,"Elite","Platinum")),IF(C67&lt;$I$2,"Basic",IF(C67&gt;=$J$2,"Elite","Platinum"))))</f>
        <v/>
      </c>
    </row>
    <row r="68">
      <c r="C68">
        <f>IF(B68="","",B68/26)</f>
        <v/>
      </c>
      <c r="D68">
        <f>IF(C68="","",IF(AND($F$2&lt;&gt;"",$G$2&lt;&gt;""),IF(C68&lt;=$F$5,"Basic",IF(C68&gt;=$G$5,"Elite","Platinum")),IF(C68&lt;$I$2,"Basic",IF(C68&gt;=$J$2,"Elite","Platinum"))))</f>
        <v/>
      </c>
    </row>
    <row r="69">
      <c r="C69">
        <f>IF(B69="","",B69/26)</f>
        <v/>
      </c>
      <c r="D69">
        <f>IF(C69="","",IF(AND($F$2&lt;&gt;"",$G$2&lt;&gt;""),IF(C69&lt;=$F$5,"Basic",IF(C69&gt;=$G$5,"Elite","Platinum")),IF(C69&lt;$I$2,"Basic",IF(C69&gt;=$J$2,"Elite","Platinum"))))</f>
        <v/>
      </c>
    </row>
    <row r="70">
      <c r="C70">
        <f>IF(B70="","",B70/26)</f>
        <v/>
      </c>
      <c r="D70">
        <f>IF(C70="","",IF(AND($F$2&lt;&gt;"",$G$2&lt;&gt;""),IF(C70&lt;=$F$5,"Basic",IF(C70&gt;=$G$5,"Elite","Platinum")),IF(C70&lt;$I$2,"Basic",IF(C70&gt;=$J$2,"Elite","Platinum"))))</f>
        <v/>
      </c>
    </row>
    <row r="71">
      <c r="C71">
        <f>IF(B71="","",B71/26)</f>
        <v/>
      </c>
      <c r="D71">
        <f>IF(C71="","",IF(AND($F$2&lt;&gt;"",$G$2&lt;&gt;""),IF(C71&lt;=$F$5,"Basic",IF(C71&gt;=$G$5,"Elite","Platinum")),IF(C71&lt;$I$2,"Basic",IF(C71&gt;=$J$2,"Elite","Platinum"))))</f>
        <v/>
      </c>
    </row>
    <row r="72">
      <c r="C72">
        <f>IF(B72="","",B72/26)</f>
        <v/>
      </c>
      <c r="D72">
        <f>IF(C72="","",IF(AND($F$2&lt;&gt;"",$G$2&lt;&gt;""),IF(C72&lt;=$F$5,"Basic",IF(C72&gt;=$G$5,"Elite","Platinum")),IF(C72&lt;$I$2,"Basic",IF(C72&gt;=$J$2,"Elite","Platinum"))))</f>
        <v/>
      </c>
    </row>
    <row r="73">
      <c r="C73">
        <f>IF(B73="","",B73/26)</f>
        <v/>
      </c>
      <c r="D73">
        <f>IF(C73="","",IF(AND($F$2&lt;&gt;"",$G$2&lt;&gt;""),IF(C73&lt;=$F$5,"Basic",IF(C73&gt;=$G$5,"Elite","Platinum")),IF(C73&lt;$I$2,"Basic",IF(C73&gt;=$J$2,"Elite","Platinum"))))</f>
        <v/>
      </c>
    </row>
    <row r="74">
      <c r="C74">
        <f>IF(B74="","",B74/26)</f>
        <v/>
      </c>
      <c r="D74">
        <f>IF(C74="","",IF(AND($F$2&lt;&gt;"",$G$2&lt;&gt;""),IF(C74&lt;=$F$5,"Basic",IF(C74&gt;=$G$5,"Elite","Platinum")),IF(C74&lt;$I$2,"Basic",IF(C74&gt;=$J$2,"Elite","Platinum"))))</f>
        <v/>
      </c>
    </row>
    <row r="75">
      <c r="C75">
        <f>IF(B75="","",B75/26)</f>
        <v/>
      </c>
      <c r="D75">
        <f>IF(C75="","",IF(AND($F$2&lt;&gt;"",$G$2&lt;&gt;""),IF(C75&lt;=$F$5,"Basic",IF(C75&gt;=$G$5,"Elite","Platinum")),IF(C75&lt;$I$2,"Basic",IF(C75&gt;=$J$2,"Elite","Platinum"))))</f>
        <v/>
      </c>
    </row>
    <row r="76">
      <c r="C76">
        <f>IF(B76="","",B76/26)</f>
        <v/>
      </c>
      <c r="D76">
        <f>IF(C76="","",IF(AND($F$2&lt;&gt;"",$G$2&lt;&gt;""),IF(C76&lt;=$F$5,"Basic",IF(C76&gt;=$G$5,"Elite","Platinum")),IF(C76&lt;$I$2,"Basic",IF(C76&gt;=$J$2,"Elite","Platinum"))))</f>
        <v/>
      </c>
    </row>
    <row r="77">
      <c r="C77">
        <f>IF(B77="","",B77/26)</f>
        <v/>
      </c>
      <c r="D77">
        <f>IF(C77="","",IF(AND($F$2&lt;&gt;"",$G$2&lt;&gt;""),IF(C77&lt;=$F$5,"Basic",IF(C77&gt;=$G$5,"Elite","Platinum")),IF(C77&lt;$I$2,"Basic",IF(C77&gt;=$J$2,"Elite","Platinum"))))</f>
        <v/>
      </c>
    </row>
    <row r="78">
      <c r="C78">
        <f>IF(B78="","",B78/26)</f>
        <v/>
      </c>
      <c r="D78">
        <f>IF(C78="","",IF(AND($F$2&lt;&gt;"",$G$2&lt;&gt;""),IF(C78&lt;=$F$5,"Basic",IF(C78&gt;=$G$5,"Elite","Platinum")),IF(C78&lt;$I$2,"Basic",IF(C78&gt;=$J$2,"Elite","Platinum"))))</f>
        <v/>
      </c>
    </row>
    <row r="79">
      <c r="C79">
        <f>IF(B79="","",B79/26)</f>
        <v/>
      </c>
      <c r="D79">
        <f>IF(C79="","",IF(AND($F$2&lt;&gt;"",$G$2&lt;&gt;""),IF(C79&lt;=$F$5,"Basic",IF(C79&gt;=$G$5,"Elite","Platinum")),IF(C79&lt;$I$2,"Basic",IF(C79&gt;=$J$2,"Elite","Platinum"))))</f>
        <v/>
      </c>
    </row>
    <row r="80">
      <c r="C80">
        <f>IF(B80="","",B80/26)</f>
        <v/>
      </c>
      <c r="D80">
        <f>IF(C80="","",IF(AND($F$2&lt;&gt;"",$G$2&lt;&gt;""),IF(C80&lt;=$F$5,"Basic",IF(C80&gt;=$G$5,"Elite","Platinum")),IF(C80&lt;$I$2,"Basic",IF(C80&gt;=$J$2,"Elite","Platinum"))))</f>
        <v/>
      </c>
    </row>
    <row r="81">
      <c r="C81">
        <f>IF(B81="","",B81/26)</f>
        <v/>
      </c>
      <c r="D81">
        <f>IF(C81="","",IF(AND($F$2&lt;&gt;"",$G$2&lt;&gt;""),IF(C81&lt;=$F$5,"Basic",IF(C81&gt;=$G$5,"Elite","Platinum")),IF(C81&lt;$I$2,"Basic",IF(C81&gt;=$J$2,"Elite","Platinum"))))</f>
        <v/>
      </c>
    </row>
    <row r="82">
      <c r="C82">
        <f>IF(B82="","",B82/26)</f>
        <v/>
      </c>
      <c r="D82">
        <f>IF(C82="","",IF(AND($F$2&lt;&gt;"",$G$2&lt;&gt;""),IF(C82&lt;=$F$5,"Basic",IF(C82&gt;=$G$5,"Elite","Platinum")),IF(C82&lt;$I$2,"Basic",IF(C82&gt;=$J$2,"Elite","Platinum"))))</f>
        <v/>
      </c>
    </row>
    <row r="83">
      <c r="C83">
        <f>IF(B83="","",B83/26)</f>
        <v/>
      </c>
      <c r="D83">
        <f>IF(C83="","",IF(AND($F$2&lt;&gt;"",$G$2&lt;&gt;""),IF(C83&lt;=$F$5,"Basic",IF(C83&gt;=$G$5,"Elite","Platinum")),IF(C83&lt;$I$2,"Basic",IF(C83&gt;=$J$2,"Elite","Platinum"))))</f>
        <v/>
      </c>
    </row>
    <row r="84">
      <c r="C84">
        <f>IF(B84="","",B84/26)</f>
        <v/>
      </c>
      <c r="D84">
        <f>IF(C84="","",IF(AND($F$2&lt;&gt;"",$G$2&lt;&gt;""),IF(C84&lt;=$F$5,"Basic",IF(C84&gt;=$G$5,"Elite","Platinum")),IF(C84&lt;$I$2,"Basic",IF(C84&gt;=$J$2,"Elite","Platinum"))))</f>
        <v/>
      </c>
    </row>
    <row r="85">
      <c r="C85">
        <f>IF(B85="","",B85/26)</f>
        <v/>
      </c>
      <c r="D85">
        <f>IF(C85="","",IF(AND($F$2&lt;&gt;"",$G$2&lt;&gt;""),IF(C85&lt;=$F$5,"Basic",IF(C85&gt;=$G$5,"Elite","Platinum")),IF(C85&lt;$I$2,"Basic",IF(C85&gt;=$J$2,"Elite","Platinum"))))</f>
        <v/>
      </c>
    </row>
    <row r="86">
      <c r="C86">
        <f>IF(B86="","",B86/26)</f>
        <v/>
      </c>
      <c r="D86">
        <f>IF(C86="","",IF(AND($F$2&lt;&gt;"",$G$2&lt;&gt;""),IF(C86&lt;=$F$5,"Basic",IF(C86&gt;=$G$5,"Elite","Platinum")),IF(C86&lt;$I$2,"Basic",IF(C86&gt;=$J$2,"Elite","Platinum"))))</f>
        <v/>
      </c>
    </row>
    <row r="87">
      <c r="C87">
        <f>IF(B87="","",B87/26)</f>
        <v/>
      </c>
      <c r="D87">
        <f>IF(C87="","",IF(AND($F$2&lt;&gt;"",$G$2&lt;&gt;""),IF(C87&lt;=$F$5,"Basic",IF(C87&gt;=$G$5,"Elite","Platinum")),IF(C87&lt;$I$2,"Basic",IF(C87&gt;=$J$2,"Elite","Platinum"))))</f>
        <v/>
      </c>
    </row>
    <row r="88">
      <c r="C88">
        <f>IF(B88="","",B88/26)</f>
        <v/>
      </c>
      <c r="D88">
        <f>IF(C88="","",IF(AND($F$2&lt;&gt;"",$G$2&lt;&gt;""),IF(C88&lt;=$F$5,"Basic",IF(C88&gt;=$G$5,"Elite","Platinum")),IF(C88&lt;$I$2,"Basic",IF(C88&gt;=$J$2,"Elite","Platinum"))))</f>
        <v/>
      </c>
    </row>
    <row r="89">
      <c r="C89">
        <f>IF(B89="","",B89/26)</f>
        <v/>
      </c>
      <c r="D89">
        <f>IF(C89="","",IF(AND($F$2&lt;&gt;"",$G$2&lt;&gt;""),IF(C89&lt;=$F$5,"Basic",IF(C89&gt;=$G$5,"Elite","Platinum")),IF(C89&lt;$I$2,"Basic",IF(C89&gt;=$J$2,"Elite","Platinum"))))</f>
        <v/>
      </c>
    </row>
    <row r="90">
      <c r="C90">
        <f>IF(B90="","",B90/26)</f>
        <v/>
      </c>
      <c r="D90">
        <f>IF(C90="","",IF(AND($F$2&lt;&gt;"",$G$2&lt;&gt;""),IF(C90&lt;=$F$5,"Basic",IF(C90&gt;=$G$5,"Elite","Platinum")),IF(C90&lt;$I$2,"Basic",IF(C90&gt;=$J$2,"Elite","Platinum"))))</f>
        <v/>
      </c>
    </row>
    <row r="91">
      <c r="C91">
        <f>IF(B91="","",B91/26)</f>
        <v/>
      </c>
      <c r="D91">
        <f>IF(C91="","",IF(AND($F$2&lt;&gt;"",$G$2&lt;&gt;""),IF(C91&lt;=$F$5,"Basic",IF(C91&gt;=$G$5,"Elite","Platinum")),IF(C91&lt;$I$2,"Basic",IF(C91&gt;=$J$2,"Elite","Platinum"))))</f>
        <v/>
      </c>
    </row>
    <row r="92">
      <c r="C92">
        <f>IF(B92="","",B92/26)</f>
        <v/>
      </c>
      <c r="D92">
        <f>IF(C92="","",IF(AND($F$2&lt;&gt;"",$G$2&lt;&gt;""),IF(C92&lt;=$F$5,"Basic",IF(C92&gt;=$G$5,"Elite","Platinum")),IF(C92&lt;$I$2,"Basic",IF(C92&gt;=$J$2,"Elite","Platinum"))))</f>
        <v/>
      </c>
    </row>
    <row r="93">
      <c r="C93">
        <f>IF(B93="","",B93/26)</f>
        <v/>
      </c>
      <c r="D93">
        <f>IF(C93="","",IF(AND($F$2&lt;&gt;"",$G$2&lt;&gt;""),IF(C93&lt;=$F$5,"Basic",IF(C93&gt;=$G$5,"Elite","Platinum")),IF(C93&lt;$I$2,"Basic",IF(C93&gt;=$J$2,"Elite","Platinum"))))</f>
        <v/>
      </c>
    </row>
    <row r="94">
      <c r="C94">
        <f>IF(B94="","",B94/26)</f>
        <v/>
      </c>
      <c r="D94">
        <f>IF(C94="","",IF(AND($F$2&lt;&gt;"",$G$2&lt;&gt;""),IF(C94&lt;=$F$5,"Basic",IF(C94&gt;=$G$5,"Elite","Platinum")),IF(C94&lt;$I$2,"Basic",IF(C94&gt;=$J$2,"Elite","Platinum"))))</f>
        <v/>
      </c>
    </row>
    <row r="95">
      <c r="C95">
        <f>IF(B95="","",B95/26)</f>
        <v/>
      </c>
      <c r="D95">
        <f>IF(C95="","",IF(AND($F$2&lt;&gt;"",$G$2&lt;&gt;""),IF(C95&lt;=$F$5,"Basic",IF(C95&gt;=$G$5,"Elite","Platinum")),IF(C95&lt;$I$2,"Basic",IF(C95&gt;=$J$2,"Elite","Platinum"))))</f>
        <v/>
      </c>
    </row>
    <row r="96">
      <c r="C96">
        <f>IF(B96="","",B96/26)</f>
        <v/>
      </c>
      <c r="D96">
        <f>IF(C96="","",IF(AND($F$2&lt;&gt;"",$G$2&lt;&gt;""),IF(C96&lt;=$F$5,"Basic",IF(C96&gt;=$G$5,"Elite","Platinum")),IF(C96&lt;$I$2,"Basic",IF(C96&gt;=$J$2,"Elite","Platinum"))))</f>
        <v/>
      </c>
    </row>
    <row r="97">
      <c r="C97">
        <f>IF(B97="","",B97/26)</f>
        <v/>
      </c>
      <c r="D97">
        <f>IF(C97="","",IF(AND($F$2&lt;&gt;"",$G$2&lt;&gt;""),IF(C97&lt;=$F$5,"Basic",IF(C97&gt;=$G$5,"Elite","Platinum")),IF(C97&lt;$I$2,"Basic",IF(C97&gt;=$J$2,"Elite","Platinum"))))</f>
        <v/>
      </c>
    </row>
    <row r="98">
      <c r="C98">
        <f>IF(B98="","",B98/26)</f>
        <v/>
      </c>
      <c r="D98">
        <f>IF(C98="","",IF(AND($F$2&lt;&gt;"",$G$2&lt;&gt;""),IF(C98&lt;=$F$5,"Basic",IF(C98&gt;=$G$5,"Elite","Platinum")),IF(C98&lt;$I$2,"Basic",IF(C98&gt;=$J$2,"Elite","Platinum"))))</f>
        <v/>
      </c>
    </row>
    <row r="99">
      <c r="C99">
        <f>IF(B99="","",B99/26)</f>
        <v/>
      </c>
      <c r="D99">
        <f>IF(C99="","",IF(AND($F$2&lt;&gt;"",$G$2&lt;&gt;""),IF(C99&lt;=$F$5,"Basic",IF(C99&gt;=$G$5,"Elite","Platinum")),IF(C99&lt;$I$2,"Basic",IF(C99&gt;=$J$2,"Elite","Platinum"))))</f>
        <v/>
      </c>
    </row>
    <row r="100">
      <c r="C100">
        <f>IF(B100="","",B100/26)</f>
        <v/>
      </c>
      <c r="D100">
        <f>IF(C100="","",IF(AND($F$2&lt;&gt;"",$G$2&lt;&gt;""),IF(C100&lt;=$F$5,"Basic",IF(C100&gt;=$G$5,"Elite","Platinum")),IF(C100&lt;$I$2,"Basic",IF(C100&gt;=$J$2,"Elite","Platinum"))))</f>
        <v/>
      </c>
    </row>
  </sheetData>
  <conditionalFormatting sqref="D2:D100">
    <cfRule type="expression" priority="1" dxfId="0">
      <formula>D2="Basic"</formula>
    </cfRule>
    <cfRule type="expression" priority="2" dxfId="1">
      <formula>D2="Platinum"</formula>
    </cfRule>
    <cfRule type="expression" priority="3" dxfId="2">
      <formula>D2="Elite"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2026-06-09T09:32:42Z</dcterms:created>
  <dcterms:modified xsi:type="dcterms:W3CDTF">2026-06-09T09:32:42Z</dcterms:modified>
</cp:coreProperties>
</file>